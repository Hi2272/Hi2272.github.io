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ymwaldkraiburg-my.sharepoint.com/personal/rainer_hille_gymnasiumwaldkraiburg_de/Documents/00Schule/Rainer Schule/Informatik 11/ki/"/>
    </mc:Choice>
  </mc:AlternateContent>
  <xr:revisionPtr revIDLastSave="0" documentId="8_{B510AAC0-FC9C-473F-8830-769EDCEBA6A1}" xr6:coauthVersionLast="47" xr6:coauthVersionMax="47" xr10:uidLastSave="{00000000-0000-0000-0000-000000000000}"/>
  <bookViews>
    <workbookView xWindow="51480" yWindow="-120" windowWidth="29040" windowHeight="15720" xr2:uid="{57DEB21A-2571-4B1C-99CC-0B0D4A684175}"/>
  </bookViews>
  <sheets>
    <sheet name="Daten" sheetId="1" r:id="rId1"/>
  </sheets>
  <calcPr calcId="0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2" i="1"/>
  <c r="E8" i="1"/>
  <c r="E9" i="1" s="1"/>
  <c r="E7" i="1"/>
  <c r="E3" i="1"/>
  <c r="E2" i="1"/>
  <c r="E4" i="1" l="1"/>
  <c r="G8" i="1"/>
  <c r="G40" i="1"/>
  <c r="G18" i="1"/>
  <c r="G43" i="1"/>
  <c r="G16" i="1"/>
  <c r="G41" i="1"/>
  <c r="G42" i="1"/>
  <c r="G4" i="1"/>
  <c r="G6" i="1"/>
  <c r="G7" i="1"/>
  <c r="G5" i="1"/>
  <c r="G31" i="1"/>
  <c r="G29" i="1"/>
  <c r="G30" i="1"/>
  <c r="G19" i="1"/>
  <c r="G13" i="1"/>
  <c r="G28" i="1"/>
  <c r="G17" i="1"/>
  <c r="G27" i="1"/>
  <c r="G12" i="1"/>
  <c r="G35" i="1"/>
  <c r="G11" i="1"/>
  <c r="G15" i="1"/>
  <c r="G26" i="1"/>
  <c r="G37" i="1"/>
  <c r="G24" i="1"/>
  <c r="G22" i="1"/>
  <c r="G10" i="1"/>
  <c r="G39" i="1"/>
  <c r="G3" i="1"/>
  <c r="G38" i="1"/>
  <c r="G14" i="1"/>
  <c r="G25" i="1"/>
  <c r="G36" i="1"/>
  <c r="G23" i="1"/>
  <c r="G2" i="1"/>
  <c r="G33" i="1"/>
  <c r="G21" i="1"/>
  <c r="G9" i="1"/>
  <c r="G34" i="1"/>
  <c r="G44" i="1"/>
  <c r="G32" i="1"/>
  <c r="G20" i="1"/>
  <c r="F7" i="1"/>
  <c r="F32" i="1"/>
  <c r="F22" i="1"/>
  <c r="F43" i="1"/>
  <c r="F8" i="1"/>
  <c r="F21" i="1"/>
  <c r="F34" i="1"/>
  <c r="F23" i="1"/>
  <c r="F31" i="1"/>
  <c r="F44" i="1"/>
  <c r="F10" i="1"/>
  <c r="F19" i="1"/>
  <c r="F20" i="1"/>
  <c r="F33" i="1"/>
  <c r="F42" i="1"/>
  <c r="F9" i="1"/>
  <c r="F11" i="1"/>
  <c r="F2" i="1"/>
  <c r="F35" i="1"/>
  <c r="F5" i="1"/>
  <c r="F41" i="1"/>
  <c r="F4" i="1"/>
  <c r="F6" i="1"/>
  <c r="F40" i="1"/>
  <c r="F3" i="1"/>
  <c r="F30" i="1"/>
  <c r="F38" i="1"/>
  <c r="F26" i="1"/>
  <c r="F14" i="1"/>
  <c r="F15" i="1"/>
  <c r="F37" i="1"/>
  <c r="F25" i="1"/>
  <c r="F13" i="1"/>
  <c r="F18" i="1"/>
  <c r="F29" i="1"/>
  <c r="F17" i="1"/>
  <c r="F28" i="1"/>
  <c r="F16" i="1"/>
  <c r="F39" i="1"/>
  <c r="F27" i="1"/>
  <c r="F36" i="1"/>
  <c r="F24" i="1"/>
  <c r="F12" i="1"/>
</calcChain>
</file>

<file path=xl/sharedStrings.xml><?xml version="1.0" encoding="utf-8"?>
<sst xmlns="http://schemas.openxmlformats.org/spreadsheetml/2006/main" count="46" uniqueCount="6">
  <si>
    <t>Alter</t>
  </si>
  <si>
    <t>Monatseinkommen</t>
  </si>
  <si>
    <t>BeschÃ¤ftigungsart</t>
  </si>
  <si>
    <t>angestellt</t>
  </si>
  <si>
    <t>Minijob</t>
  </si>
  <si>
    <t>selbststÃ¤ndig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</si>
</sst>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Rohdaten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angestellt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Daten!$A$2:$A$24</c:f>
              <c:numCache>
                <c:formatCode>General</c:formatCode>
                <c:ptCount val="23"/>
                <c:pt idx="0">
                  <c:v>25</c:v>
                </c:pt>
                <c:pt idx="1">
                  <c:v>30</c:v>
                </c:pt>
                <c:pt idx="2">
                  <c:v>42</c:v>
                </c:pt>
                <c:pt idx="3">
                  <c:v>35</c:v>
                </c:pt>
                <c:pt idx="4">
                  <c:v>33</c:v>
                </c:pt>
                <c:pt idx="5">
                  <c:v>29</c:v>
                </c:pt>
                <c:pt idx="6">
                  <c:v>31</c:v>
                </c:pt>
                <c:pt idx="7">
                  <c:v>41</c:v>
                </c:pt>
                <c:pt idx="8">
                  <c:v>32</c:v>
                </c:pt>
                <c:pt idx="9">
                  <c:v>39</c:v>
                </c:pt>
                <c:pt idx="10">
                  <c:v>36</c:v>
                </c:pt>
                <c:pt idx="11">
                  <c:v>34</c:v>
                </c:pt>
                <c:pt idx="12">
                  <c:v>40</c:v>
                </c:pt>
                <c:pt idx="13">
                  <c:v>22</c:v>
                </c:pt>
                <c:pt idx="14">
                  <c:v>39</c:v>
                </c:pt>
                <c:pt idx="15">
                  <c:v>26</c:v>
                </c:pt>
                <c:pt idx="16">
                  <c:v>33</c:v>
                </c:pt>
                <c:pt idx="17">
                  <c:v>28</c:v>
                </c:pt>
                <c:pt idx="18">
                  <c:v>35</c:v>
                </c:pt>
                <c:pt idx="19">
                  <c:v>42</c:v>
                </c:pt>
                <c:pt idx="20">
                  <c:v>37</c:v>
                </c:pt>
                <c:pt idx="21">
                  <c:v>30</c:v>
                </c:pt>
                <c:pt idx="22">
                  <c:v>32</c:v>
                </c:pt>
              </c:numCache>
            </c:numRef>
          </c:xVal>
          <c:yVal>
            <c:numRef>
              <c:f>Daten!$B$2:$B$24</c:f>
              <c:numCache>
                <c:formatCode>General</c:formatCode>
                <c:ptCount val="23"/>
                <c:pt idx="0">
                  <c:v>2500</c:v>
                </c:pt>
                <c:pt idx="1">
                  <c:v>1800</c:v>
                </c:pt>
                <c:pt idx="2">
                  <c:v>3200</c:v>
                </c:pt>
                <c:pt idx="3">
                  <c:v>2000</c:v>
                </c:pt>
                <c:pt idx="4">
                  <c:v>2800</c:v>
                </c:pt>
                <c:pt idx="5">
                  <c:v>1600</c:v>
                </c:pt>
                <c:pt idx="6">
                  <c:v>1900</c:v>
                </c:pt>
                <c:pt idx="7">
                  <c:v>3500</c:v>
                </c:pt>
                <c:pt idx="8">
                  <c:v>2200</c:v>
                </c:pt>
                <c:pt idx="9">
                  <c:v>2900</c:v>
                </c:pt>
                <c:pt idx="10">
                  <c:v>2400</c:v>
                </c:pt>
                <c:pt idx="11">
                  <c:v>2100</c:v>
                </c:pt>
                <c:pt idx="12">
                  <c:v>3300</c:v>
                </c:pt>
                <c:pt idx="13">
                  <c:v>1800</c:v>
                </c:pt>
                <c:pt idx="14">
                  <c:v>2700</c:v>
                </c:pt>
                <c:pt idx="15">
                  <c:v>1600</c:v>
                </c:pt>
                <c:pt idx="16">
                  <c:v>2400</c:v>
                </c:pt>
                <c:pt idx="17">
                  <c:v>1400</c:v>
                </c:pt>
                <c:pt idx="18">
                  <c:v>2300</c:v>
                </c:pt>
                <c:pt idx="19">
                  <c:v>3200</c:v>
                </c:pt>
                <c:pt idx="20">
                  <c:v>2600</c:v>
                </c:pt>
                <c:pt idx="21">
                  <c:v>1700</c:v>
                </c:pt>
                <c:pt idx="22">
                  <c:v>2100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5B-4F89-9317-46DEBD58C909}"/>
            </c:ext>
          </c:extLst>
        </c:ser>
        <c:ser>
          <c:idx val="1"/>
          <c:order val="1"/>
          <c:tx>
            <c:strRef>
              <c:f>Daten!$C$25</c:f>
              <c:strCache>
                <c:ptCount val="1"/>
                <c:pt idx="0">
                  <c:v>Minijob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Daten!$A$25:$A$35</c:f>
              <c:numCache>
                <c:formatCode>General</c:formatCode>
                <c:ptCount val="11"/>
                <c:pt idx="0">
                  <c:v>28</c:v>
                </c:pt>
                <c:pt idx="1">
                  <c:v>38</c:v>
                </c:pt>
                <c:pt idx="2">
                  <c:v>26</c:v>
                </c:pt>
                <c:pt idx="3">
                  <c:v>27</c:v>
                </c:pt>
                <c:pt idx="4">
                  <c:v>37</c:v>
                </c:pt>
                <c:pt idx="5">
                  <c:v>24</c:v>
                </c:pt>
                <c:pt idx="6">
                  <c:v>31</c:v>
                </c:pt>
                <c:pt idx="7">
                  <c:v>34</c:v>
                </c:pt>
                <c:pt idx="8">
                  <c:v>20</c:v>
                </c:pt>
                <c:pt idx="9">
                  <c:v>25</c:v>
                </c:pt>
                <c:pt idx="10">
                  <c:v>18</c:v>
                </c:pt>
              </c:numCache>
            </c:numRef>
          </c:xVal>
          <c:yVal>
            <c:numRef>
              <c:f>Daten!$B$25:$B$35</c:f>
              <c:numCache>
                <c:formatCode>General</c:formatCode>
                <c:ptCount val="11"/>
                <c:pt idx="0">
                  <c:v>520</c:v>
                </c:pt>
                <c:pt idx="1">
                  <c:v>300</c:v>
                </c:pt>
                <c:pt idx="2">
                  <c:v>1700</c:v>
                </c:pt>
                <c:pt idx="3">
                  <c:v>1300</c:v>
                </c:pt>
                <c:pt idx="4">
                  <c:v>2700</c:v>
                </c:pt>
                <c:pt idx="5">
                  <c:v>1400</c:v>
                </c:pt>
                <c:pt idx="6">
                  <c:v>200</c:v>
                </c:pt>
                <c:pt idx="7">
                  <c:v>540</c:v>
                </c:pt>
                <c:pt idx="8">
                  <c:v>1200</c:v>
                </c:pt>
                <c:pt idx="9">
                  <c:v>1300</c:v>
                </c:pt>
                <c:pt idx="10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5B-4F89-9317-46DEBD58C909}"/>
            </c:ext>
          </c:extLst>
        </c:ser>
        <c:ser>
          <c:idx val="2"/>
          <c:order val="2"/>
          <c:tx>
            <c:strRef>
              <c:f>Daten!$C$36</c:f>
              <c:strCache>
                <c:ptCount val="1"/>
                <c:pt idx="0">
                  <c:v>selbststÃ¤ndig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Daten!$A$36:$A$44</c:f>
              <c:numCache>
                <c:formatCode>General</c:formatCode>
                <c:ptCount val="9"/>
                <c:pt idx="0">
                  <c:v>47</c:v>
                </c:pt>
                <c:pt idx="1">
                  <c:v>43</c:v>
                </c:pt>
                <c:pt idx="2">
                  <c:v>45</c:v>
                </c:pt>
                <c:pt idx="3">
                  <c:v>29</c:v>
                </c:pt>
                <c:pt idx="4">
                  <c:v>50</c:v>
                </c:pt>
                <c:pt idx="5">
                  <c:v>60</c:v>
                </c:pt>
                <c:pt idx="6">
                  <c:v>55</c:v>
                </c:pt>
                <c:pt idx="7">
                  <c:v>48</c:v>
                </c:pt>
                <c:pt idx="8">
                  <c:v>65</c:v>
                </c:pt>
              </c:numCache>
            </c:numRef>
          </c:xVal>
          <c:yVal>
            <c:numRef>
              <c:f>Daten!$B$36:$B$44</c:f>
              <c:numCache>
                <c:formatCode>General</c:formatCode>
                <c:ptCount val="9"/>
                <c:pt idx="0">
                  <c:v>4000</c:v>
                </c:pt>
                <c:pt idx="1">
                  <c:v>3800</c:v>
                </c:pt>
                <c:pt idx="2">
                  <c:v>3800</c:v>
                </c:pt>
                <c:pt idx="3">
                  <c:v>900</c:v>
                </c:pt>
                <c:pt idx="4">
                  <c:v>8000</c:v>
                </c:pt>
                <c:pt idx="5">
                  <c:v>10000</c:v>
                </c:pt>
                <c:pt idx="6">
                  <c:v>6000</c:v>
                </c:pt>
                <c:pt idx="7">
                  <c:v>5000</c:v>
                </c:pt>
                <c:pt idx="8">
                  <c:v>15000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5B-4F89-9317-46DEBD58C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823280"/>
        <c:axId val="1569823760"/>
      </c:scatterChart>
      <c:valAx>
        <c:axId val="156982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69823760"/>
        <c:crosses val="autoZero"/>
        <c:crossBetween val="midCat"/>
      </c:valAx>
      <c:valAx>
        <c:axId val="156982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69823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Normalisierte Daten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Daten!$H$6</c:f>
              <c:strCache>
                <c:ptCount val="1"/>
                <c:pt idx="0">
                  <c:v>angestellt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Daten!$F$2:$F$24</c:f>
              <c:numCache>
                <c:formatCode>General</c:formatCode>
                <c:ptCount val="23"/>
                <c:pt idx="0">
                  <c:v>0.14893617021276595</c:v>
                </c:pt>
                <c:pt idx="1">
                  <c:v>0.25531914893617019</c:v>
                </c:pt>
                <c:pt idx="2">
                  <c:v>0.51063829787234039</c:v>
                </c:pt>
                <c:pt idx="3">
                  <c:v>0.36170212765957449</c:v>
                </c:pt>
                <c:pt idx="4">
                  <c:v>0.31914893617021278</c:v>
                </c:pt>
                <c:pt idx="5">
                  <c:v>0.23404255319148937</c:v>
                </c:pt>
                <c:pt idx="6">
                  <c:v>0.27659574468085107</c:v>
                </c:pt>
                <c:pt idx="7">
                  <c:v>0.48936170212765956</c:v>
                </c:pt>
                <c:pt idx="8">
                  <c:v>0.2978723404255319</c:v>
                </c:pt>
                <c:pt idx="9">
                  <c:v>0.44680851063829785</c:v>
                </c:pt>
                <c:pt idx="10">
                  <c:v>0.38297872340425532</c:v>
                </c:pt>
                <c:pt idx="11">
                  <c:v>0.34042553191489361</c:v>
                </c:pt>
                <c:pt idx="12">
                  <c:v>0.46808510638297873</c:v>
                </c:pt>
                <c:pt idx="13">
                  <c:v>8.5106382978723402E-2</c:v>
                </c:pt>
                <c:pt idx="14">
                  <c:v>0.44680851063829785</c:v>
                </c:pt>
                <c:pt idx="15">
                  <c:v>0.1702127659574468</c:v>
                </c:pt>
                <c:pt idx="16">
                  <c:v>0.31914893617021278</c:v>
                </c:pt>
                <c:pt idx="17">
                  <c:v>0.21276595744680851</c:v>
                </c:pt>
                <c:pt idx="18">
                  <c:v>0.36170212765957449</c:v>
                </c:pt>
                <c:pt idx="19">
                  <c:v>0.51063829787234039</c:v>
                </c:pt>
                <c:pt idx="20">
                  <c:v>0.40425531914893614</c:v>
                </c:pt>
                <c:pt idx="21">
                  <c:v>0.25531914893617019</c:v>
                </c:pt>
                <c:pt idx="22">
                  <c:v>0.2978723404255319</c:v>
                </c:pt>
              </c:numCache>
            </c:numRef>
          </c:xVal>
          <c:yVal>
            <c:numRef>
              <c:f>Daten!$G$2:$G$24</c:f>
              <c:numCache>
                <c:formatCode>General</c:formatCode>
                <c:ptCount val="23"/>
                <c:pt idx="0">
                  <c:v>0.1554054054054054</c:v>
                </c:pt>
                <c:pt idx="1">
                  <c:v>0.10810810810810811</c:v>
                </c:pt>
                <c:pt idx="2">
                  <c:v>0.20270270270270271</c:v>
                </c:pt>
                <c:pt idx="3">
                  <c:v>0.12162162162162163</c:v>
                </c:pt>
                <c:pt idx="4">
                  <c:v>0.17567567567567569</c:v>
                </c:pt>
                <c:pt idx="5">
                  <c:v>9.45945945945946E-2</c:v>
                </c:pt>
                <c:pt idx="6">
                  <c:v>0.11486486486486487</c:v>
                </c:pt>
                <c:pt idx="7">
                  <c:v>0.22297297297297297</c:v>
                </c:pt>
                <c:pt idx="8">
                  <c:v>0.13513513513513514</c:v>
                </c:pt>
                <c:pt idx="9">
                  <c:v>0.18243243243243243</c:v>
                </c:pt>
                <c:pt idx="10">
                  <c:v>0.14864864864864866</c:v>
                </c:pt>
                <c:pt idx="11">
                  <c:v>0.12837837837837837</c:v>
                </c:pt>
                <c:pt idx="12">
                  <c:v>0.20945945945945946</c:v>
                </c:pt>
                <c:pt idx="13">
                  <c:v>0.10810810810810811</c:v>
                </c:pt>
                <c:pt idx="14">
                  <c:v>0.16891891891891891</c:v>
                </c:pt>
                <c:pt idx="15">
                  <c:v>9.45945945945946E-2</c:v>
                </c:pt>
                <c:pt idx="16">
                  <c:v>0.14864864864864866</c:v>
                </c:pt>
                <c:pt idx="17">
                  <c:v>8.1081081081081086E-2</c:v>
                </c:pt>
                <c:pt idx="18">
                  <c:v>0.14189189189189189</c:v>
                </c:pt>
                <c:pt idx="19">
                  <c:v>0.20270270270270271</c:v>
                </c:pt>
                <c:pt idx="20">
                  <c:v>0.16216216216216217</c:v>
                </c:pt>
                <c:pt idx="21">
                  <c:v>0.10135135135135136</c:v>
                </c:pt>
                <c:pt idx="22">
                  <c:v>0.12837837837837837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23-446E-ABCD-86926757D04C}"/>
            </c:ext>
          </c:extLst>
        </c:ser>
        <c:ser>
          <c:idx val="1"/>
          <c:order val="1"/>
          <c:tx>
            <c:strRef>
              <c:f>Daten!$H$25</c:f>
              <c:strCache>
                <c:ptCount val="1"/>
                <c:pt idx="0">
                  <c:v>Minijob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Daten!$F$25:$F$35</c:f>
              <c:numCache>
                <c:formatCode>General</c:formatCode>
                <c:ptCount val="11"/>
                <c:pt idx="0">
                  <c:v>0.21276595744680851</c:v>
                </c:pt>
                <c:pt idx="1">
                  <c:v>0.42553191489361702</c:v>
                </c:pt>
                <c:pt idx="2">
                  <c:v>0.1702127659574468</c:v>
                </c:pt>
                <c:pt idx="3">
                  <c:v>0.19148936170212766</c:v>
                </c:pt>
                <c:pt idx="4">
                  <c:v>0.40425531914893614</c:v>
                </c:pt>
                <c:pt idx="5">
                  <c:v>0.1276595744680851</c:v>
                </c:pt>
                <c:pt idx="6">
                  <c:v>0.27659574468085107</c:v>
                </c:pt>
                <c:pt idx="7">
                  <c:v>0.34042553191489361</c:v>
                </c:pt>
                <c:pt idx="8">
                  <c:v>4.2553191489361701E-2</c:v>
                </c:pt>
                <c:pt idx="9">
                  <c:v>0.14893617021276595</c:v>
                </c:pt>
                <c:pt idx="10">
                  <c:v>0</c:v>
                </c:pt>
              </c:numCache>
            </c:numRef>
          </c:xVal>
          <c:yVal>
            <c:numRef>
              <c:f>Daten!$G$25:$G$35</c:f>
              <c:numCache>
                <c:formatCode>General</c:formatCode>
                <c:ptCount val="11"/>
                <c:pt idx="0">
                  <c:v>2.1621621621621623E-2</c:v>
                </c:pt>
                <c:pt idx="1">
                  <c:v>6.7567567567567571E-3</c:v>
                </c:pt>
                <c:pt idx="2">
                  <c:v>0.10135135135135136</c:v>
                </c:pt>
                <c:pt idx="3">
                  <c:v>7.4324324324324328E-2</c:v>
                </c:pt>
                <c:pt idx="4">
                  <c:v>0.16891891891891891</c:v>
                </c:pt>
                <c:pt idx="5">
                  <c:v>8.1081081081081086E-2</c:v>
                </c:pt>
                <c:pt idx="6">
                  <c:v>0</c:v>
                </c:pt>
                <c:pt idx="7">
                  <c:v>2.2972972972972974E-2</c:v>
                </c:pt>
                <c:pt idx="8">
                  <c:v>6.7567567567567571E-2</c:v>
                </c:pt>
                <c:pt idx="9">
                  <c:v>7.4324324324324328E-2</c:v>
                </c:pt>
                <c:pt idx="10">
                  <c:v>2.0270270270270271E-2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23-446E-ABCD-86926757D04C}"/>
            </c:ext>
          </c:extLst>
        </c:ser>
        <c:ser>
          <c:idx val="2"/>
          <c:order val="2"/>
          <c:tx>
            <c:strRef>
              <c:f>Daten!$H$36</c:f>
              <c:strCache>
                <c:ptCount val="1"/>
                <c:pt idx="0">
                  <c:v>selbststÃ¤ndig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Daten!$F$36:$F$44</c:f>
              <c:numCache>
                <c:formatCode>General</c:formatCode>
                <c:ptCount val="9"/>
                <c:pt idx="0">
                  <c:v>0.61702127659574468</c:v>
                </c:pt>
                <c:pt idx="1">
                  <c:v>0.53191489361702127</c:v>
                </c:pt>
                <c:pt idx="2">
                  <c:v>0.57446808510638303</c:v>
                </c:pt>
                <c:pt idx="3">
                  <c:v>0.23404255319148937</c:v>
                </c:pt>
                <c:pt idx="4">
                  <c:v>0.68085106382978722</c:v>
                </c:pt>
                <c:pt idx="5">
                  <c:v>0.8936170212765957</c:v>
                </c:pt>
                <c:pt idx="6">
                  <c:v>0.78723404255319152</c:v>
                </c:pt>
                <c:pt idx="7">
                  <c:v>0.63829787234042556</c:v>
                </c:pt>
                <c:pt idx="8">
                  <c:v>1</c:v>
                </c:pt>
              </c:numCache>
            </c:numRef>
          </c:xVal>
          <c:yVal>
            <c:numRef>
              <c:f>Daten!$G$36:$G$44</c:f>
              <c:numCache>
                <c:formatCode>General</c:formatCode>
                <c:ptCount val="9"/>
                <c:pt idx="0">
                  <c:v>0.25675675675675674</c:v>
                </c:pt>
                <c:pt idx="1">
                  <c:v>0.24324324324324326</c:v>
                </c:pt>
                <c:pt idx="2">
                  <c:v>0.24324324324324326</c:v>
                </c:pt>
                <c:pt idx="3">
                  <c:v>4.72972972972973E-2</c:v>
                </c:pt>
                <c:pt idx="4">
                  <c:v>0.52702702702702697</c:v>
                </c:pt>
                <c:pt idx="5">
                  <c:v>0.66216216216216217</c:v>
                </c:pt>
                <c:pt idx="6">
                  <c:v>0.39189189189189189</c:v>
                </c:pt>
                <c:pt idx="7">
                  <c:v>0.32432432432432434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23-446E-ABCD-86926757D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285663"/>
        <c:axId val="222286143"/>
      </c:scatterChart>
      <c:valAx>
        <c:axId val="22228566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2286143"/>
        <c:crosses val="autoZero"/>
        <c:crossBetween val="midCat"/>
      </c:valAx>
      <c:valAx>
        <c:axId val="22228614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2285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276225</xdr:colOff>
      <xdr:row>1</xdr:row>
      <xdr:rowOff>157162</xdr:rowOff>
    </xdr:from>
    <xdr:to>
      <xdr:col>17</xdr:col>
      <xdr:colOff>561975</xdr:colOff>
      <xdr:row>16</xdr:row>
      <xdr:rowOff>42862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15A9433-A447-B80B-337D-04687166C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247649</xdr:colOff>
      <xdr:row>17</xdr:row>
      <xdr:rowOff>100012</xdr:rowOff>
    </xdr:from>
    <xdr:to>
      <xdr:col>17</xdr:col>
      <xdr:colOff>581024</xdr:colOff>
      <xdr:row>31</xdr:row>
      <xdr:rowOff>176212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A26CD2F9-E303-FF4B-B8C1-567062323A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8BFBA-7437-4292-AD6D-A3AB693334AC}">
  <dimension ref="A1:H44"/>
  <sheetViews>
    <sheetView tabSelected="1" zoomScaleNormal="100" workbookViewId="0">
      <selection activeCell="F6" sqref="F6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</row>
    <row r="2" spans="1:8" x14ac:dyDescent="0.25">
      <c r="A2">
        <v>25</v>
      </c>
      <c r="B2">
        <v>2500</v>
      </c>
      <c r="C2" t="s">
        <v>3</v>
      </c>
      <c r="E2">
        <f>MIN(A:A)</f>
        <v>18</v>
      </c>
      <c r="F2">
        <f>(A2-E$2)/E$4</f>
        <v>0.14893617021276595</v>
      </c>
      <c r="G2">
        <f>(B2-E$7)/E$9</f>
        <v>0.1554054054054054</v>
      </c>
      <c r="H2" t="str">
        <f>C2</f>
        <v>angestellt</v>
      </c>
    </row>
    <row r="3" spans="1:8" x14ac:dyDescent="0.25">
      <c r="A3">
        <v>30</v>
      </c>
      <c r="B3">
        <v>1800</v>
      </c>
      <c r="C3" t="s">
        <v>3</v>
      </c>
      <c r="E3">
        <f>MAX(A:A)</f>
        <v>65</v>
      </c>
      <c r="F3">
        <f t="shared" ref="F3:F45" si="0">(A3-E$2)/E$4</f>
        <v>0.25531914893617019</v>
      </c>
      <c r="G3">
        <f t="shared" ref="G3:G45" si="1">(B3-E$7)/E$9</f>
        <v>0.10810810810810811</v>
      </c>
      <c r="H3" t="str">
        <f t="shared" ref="H3:H44" si="2">C3</f>
        <v>angestellt</v>
      </c>
    </row>
    <row r="4" spans="1:8" x14ac:dyDescent="0.25">
      <c r="A4">
        <v>42</v>
      </c>
      <c r="B4">
        <v>3200</v>
      </c>
      <c r="C4" t="s">
        <v>3</v>
      </c>
      <c r="E4">
        <f>E3-E2</f>
        <v>47</v>
      </c>
      <c r="F4">
        <f t="shared" si="0"/>
        <v>0.51063829787234039</v>
      </c>
      <c r="G4">
        <f t="shared" si="1"/>
        <v>0.20270270270270271</v>
      </c>
      <c r="H4" t="str">
        <f t="shared" si="2"/>
        <v>angestellt</v>
      </c>
    </row>
    <row r="5" spans="1:8" x14ac:dyDescent="0.25">
      <c r="A5">
        <v>35</v>
      </c>
      <c r="B5">
        <v>2000</v>
      </c>
      <c r="C5" t="s">
        <v>3</v>
      </c>
      <c r="F5">
        <f t="shared" si="0"/>
        <v>0.36170212765957449</v>
      </c>
      <c r="G5">
        <f t="shared" si="1"/>
        <v>0.12162162162162163</v>
      </c>
      <c r="H5" t="str">
        <f t="shared" si="2"/>
        <v>angestellt</v>
      </c>
    </row>
    <row r="6" spans="1:8" x14ac:dyDescent="0.25">
      <c r="A6">
        <v>33</v>
      </c>
      <c r="B6">
        <v>2800</v>
      </c>
      <c r="C6" t="s">
        <v>3</v>
      </c>
      <c r="F6">
        <f t="shared" si="0"/>
        <v>0.31914893617021278</v>
      </c>
      <c r="G6">
        <f t="shared" si="1"/>
        <v>0.17567567567567569</v>
      </c>
      <c r="H6" t="str">
        <f t="shared" si="2"/>
        <v>angestellt</v>
      </c>
    </row>
    <row r="7" spans="1:8" x14ac:dyDescent="0.25">
      <c r="A7">
        <v>29</v>
      </c>
      <c r="B7">
        <v>1600</v>
      </c>
      <c r="C7" t="s">
        <v>3</v>
      </c>
      <c r="E7">
        <f>MIN(B:B)</f>
        <v>200</v>
      </c>
      <c r="F7">
        <f t="shared" si="0"/>
        <v>0.23404255319148937</v>
      </c>
      <c r="G7">
        <f t="shared" si="1"/>
        <v>9.45945945945946E-2</v>
      </c>
      <c r="H7" t="str">
        <f t="shared" si="2"/>
        <v>angestellt</v>
      </c>
    </row>
    <row r="8" spans="1:8" x14ac:dyDescent="0.25">
      <c r="A8">
        <v>31</v>
      </c>
      <c r="B8">
        <v>1900</v>
      </c>
      <c r="C8" t="s">
        <v>3</v>
      </c>
      <c r="E8">
        <f>MAX(B:B)</f>
        <v>15000</v>
      </c>
      <c r="F8">
        <f t="shared" si="0"/>
        <v>0.27659574468085107</v>
      </c>
      <c r="G8">
        <f t="shared" si="1"/>
        <v>0.11486486486486487</v>
      </c>
      <c r="H8" t="str">
        <f t="shared" si="2"/>
        <v>angestellt</v>
      </c>
    </row>
    <row r="9" spans="1:8" x14ac:dyDescent="0.25">
      <c r="A9">
        <v>41</v>
      </c>
      <c r="B9">
        <v>3500</v>
      </c>
      <c r="C9" t="s">
        <v>3</v>
      </c>
      <c r="E9">
        <f>E8-E7</f>
        <v>14800</v>
      </c>
      <c r="F9">
        <f t="shared" si="0"/>
        <v>0.48936170212765956</v>
      </c>
      <c r="G9">
        <f t="shared" si="1"/>
        <v>0.22297297297297297</v>
      </c>
      <c r="H9" t="str">
        <f t="shared" si="2"/>
        <v>angestellt</v>
      </c>
    </row>
    <row r="10" spans="1:8" x14ac:dyDescent="0.25">
      <c r="A10">
        <v>32</v>
      </c>
      <c r="B10">
        <v>2200</v>
      </c>
      <c r="C10" t="s">
        <v>3</v>
      </c>
      <c r="F10">
        <f t="shared" si="0"/>
        <v>0.2978723404255319</v>
      </c>
      <c r="G10">
        <f t="shared" si="1"/>
        <v>0.13513513513513514</v>
      </c>
      <c r="H10" t="str">
        <f t="shared" si="2"/>
        <v>angestellt</v>
      </c>
    </row>
    <row r="11" spans="1:8" x14ac:dyDescent="0.25">
      <c r="A11">
        <v>39</v>
      </c>
      <c r="B11">
        <v>2900</v>
      </c>
      <c r="C11" t="s">
        <v>3</v>
      </c>
      <c r="F11">
        <f t="shared" si="0"/>
        <v>0.44680851063829785</v>
      </c>
      <c r="G11">
        <f t="shared" si="1"/>
        <v>0.18243243243243243</v>
      </c>
      <c r="H11" t="str">
        <f t="shared" si="2"/>
        <v>angestellt</v>
      </c>
    </row>
    <row r="12" spans="1:8" x14ac:dyDescent="0.25">
      <c r="A12">
        <v>36</v>
      </c>
      <c r="B12">
        <v>2400</v>
      </c>
      <c r="C12" t="s">
        <v>3</v>
      </c>
      <c r="F12">
        <f t="shared" si="0"/>
        <v>0.38297872340425532</v>
      </c>
      <c r="G12">
        <f t="shared" si="1"/>
        <v>0.14864864864864866</v>
      </c>
      <c r="H12" t="str">
        <f t="shared" si="2"/>
        <v>angestellt</v>
      </c>
    </row>
    <row r="13" spans="1:8" x14ac:dyDescent="0.25">
      <c r="A13">
        <v>34</v>
      </c>
      <c r="B13">
        <v>2100</v>
      </c>
      <c r="C13" t="s">
        <v>3</v>
      </c>
      <c r="F13">
        <f t="shared" si="0"/>
        <v>0.34042553191489361</v>
      </c>
      <c r="G13">
        <f t="shared" si="1"/>
        <v>0.12837837837837837</v>
      </c>
      <c r="H13" t="str">
        <f t="shared" si="2"/>
        <v>angestellt</v>
      </c>
    </row>
    <row r="14" spans="1:8" x14ac:dyDescent="0.25">
      <c r="A14">
        <v>40</v>
      </c>
      <c r="B14">
        <v>3300</v>
      </c>
      <c r="C14" t="s">
        <v>3</v>
      </c>
      <c r="F14">
        <f t="shared" si="0"/>
        <v>0.46808510638297873</v>
      </c>
      <c r="G14">
        <f t="shared" si="1"/>
        <v>0.20945945945945946</v>
      </c>
      <c r="H14" t="str">
        <f t="shared" si="2"/>
        <v>angestellt</v>
      </c>
    </row>
    <row r="15" spans="1:8" x14ac:dyDescent="0.25">
      <c r="A15">
        <v>22</v>
      </c>
      <c r="B15">
        <v>1800</v>
      </c>
      <c r="C15" t="s">
        <v>3</v>
      </c>
      <c r="F15">
        <f t="shared" si="0"/>
        <v>8.5106382978723402E-2</v>
      </c>
      <c r="G15">
        <f t="shared" si="1"/>
        <v>0.10810810810810811</v>
      </c>
      <c r="H15" t="str">
        <f t="shared" si="2"/>
        <v>angestellt</v>
      </c>
    </row>
    <row r="16" spans="1:8" x14ac:dyDescent="0.25">
      <c r="A16">
        <v>39</v>
      </c>
      <c r="B16">
        <v>2700</v>
      </c>
      <c r="C16" t="s">
        <v>3</v>
      </c>
      <c r="F16">
        <f t="shared" si="0"/>
        <v>0.44680851063829785</v>
      </c>
      <c r="G16">
        <f t="shared" si="1"/>
        <v>0.16891891891891891</v>
      </c>
      <c r="H16" t="str">
        <f t="shared" si="2"/>
        <v>angestellt</v>
      </c>
    </row>
    <row r="17" spans="1:8" x14ac:dyDescent="0.25">
      <c r="A17">
        <v>26</v>
      </c>
      <c r="B17">
        <v>1600</v>
      </c>
      <c r="C17" t="s">
        <v>3</v>
      </c>
      <c r="F17">
        <f t="shared" si="0"/>
        <v>0.1702127659574468</v>
      </c>
      <c r="G17">
        <f t="shared" si="1"/>
        <v>9.45945945945946E-2</v>
      </c>
      <c r="H17" t="str">
        <f t="shared" si="2"/>
        <v>angestellt</v>
      </c>
    </row>
    <row r="18" spans="1:8" x14ac:dyDescent="0.25">
      <c r="A18">
        <v>33</v>
      </c>
      <c r="B18">
        <v>2400</v>
      </c>
      <c r="C18" t="s">
        <v>3</v>
      </c>
      <c r="F18">
        <f t="shared" si="0"/>
        <v>0.31914893617021278</v>
      </c>
      <c r="G18">
        <f t="shared" si="1"/>
        <v>0.14864864864864866</v>
      </c>
      <c r="H18" t="str">
        <f t="shared" si="2"/>
        <v>angestellt</v>
      </c>
    </row>
    <row r="19" spans="1:8" x14ac:dyDescent="0.25">
      <c r="A19">
        <v>28</v>
      </c>
      <c r="B19">
        <v>1400</v>
      </c>
      <c r="C19" t="s">
        <v>3</v>
      </c>
      <c r="F19">
        <f t="shared" si="0"/>
        <v>0.21276595744680851</v>
      </c>
      <c r="G19">
        <f t="shared" si="1"/>
        <v>8.1081081081081086E-2</v>
      </c>
      <c r="H19" t="str">
        <f t="shared" si="2"/>
        <v>angestellt</v>
      </c>
    </row>
    <row r="20" spans="1:8" x14ac:dyDescent="0.25">
      <c r="A20">
        <v>35</v>
      </c>
      <c r="B20">
        <v>2300</v>
      </c>
      <c r="C20" t="s">
        <v>3</v>
      </c>
      <c r="F20">
        <f t="shared" si="0"/>
        <v>0.36170212765957449</v>
      </c>
      <c r="G20">
        <f t="shared" si="1"/>
        <v>0.14189189189189189</v>
      </c>
      <c r="H20" t="str">
        <f t="shared" si="2"/>
        <v>angestellt</v>
      </c>
    </row>
    <row r="21" spans="1:8" x14ac:dyDescent="0.25">
      <c r="A21">
        <v>42</v>
      </c>
      <c r="B21">
        <v>3200</v>
      </c>
      <c r="C21" t="s">
        <v>3</v>
      </c>
      <c r="F21">
        <f t="shared" si="0"/>
        <v>0.51063829787234039</v>
      </c>
      <c r="G21">
        <f t="shared" si="1"/>
        <v>0.20270270270270271</v>
      </c>
      <c r="H21" t="str">
        <f t="shared" si="2"/>
        <v>angestellt</v>
      </c>
    </row>
    <row r="22" spans="1:8" x14ac:dyDescent="0.25">
      <c r="A22">
        <v>37</v>
      </c>
      <c r="B22">
        <v>2600</v>
      </c>
      <c r="C22" t="s">
        <v>3</v>
      </c>
      <c r="F22">
        <f t="shared" si="0"/>
        <v>0.40425531914893614</v>
      </c>
      <c r="G22">
        <f t="shared" si="1"/>
        <v>0.16216216216216217</v>
      </c>
      <c r="H22" t="str">
        <f t="shared" si="2"/>
        <v>angestellt</v>
      </c>
    </row>
    <row r="23" spans="1:8" x14ac:dyDescent="0.25">
      <c r="A23">
        <v>30</v>
      </c>
      <c r="B23">
        <v>1700</v>
      </c>
      <c r="C23" t="s">
        <v>3</v>
      </c>
      <c r="F23">
        <f t="shared" si="0"/>
        <v>0.25531914893617019</v>
      </c>
      <c r="G23">
        <f t="shared" si="1"/>
        <v>0.10135135135135136</v>
      </c>
      <c r="H23" t="str">
        <f t="shared" si="2"/>
        <v>angestellt</v>
      </c>
    </row>
    <row r="24" spans="1:8" x14ac:dyDescent="0.25">
      <c r="A24">
        <v>32</v>
      </c>
      <c r="B24">
        <v>2100</v>
      </c>
      <c r="C24" t="s">
        <v>3</v>
      </c>
      <c r="F24">
        <f t="shared" si="0"/>
        <v>0.2978723404255319</v>
      </c>
      <c r="G24">
        <f t="shared" si="1"/>
        <v>0.12837837837837837</v>
      </c>
      <c r="H24" t="str">
        <f t="shared" si="2"/>
        <v>angestellt</v>
      </c>
    </row>
    <row r="25" spans="1:8" x14ac:dyDescent="0.25">
      <c r="A25">
        <v>28</v>
      </c>
      <c r="B25">
        <v>520</v>
      </c>
      <c r="C25" t="s">
        <v>4</v>
      </c>
      <c r="F25">
        <f t="shared" si="0"/>
        <v>0.21276595744680851</v>
      </c>
      <c r="G25">
        <f t="shared" si="1"/>
        <v>2.1621621621621623E-2</v>
      </c>
      <c r="H25" t="str">
        <f t="shared" si="2"/>
        <v>Minijob</v>
      </c>
    </row>
    <row r="26" spans="1:8" x14ac:dyDescent="0.25">
      <c r="A26">
        <v>38</v>
      </c>
      <c r="B26">
        <v>300</v>
      </c>
      <c r="C26" t="s">
        <v>4</v>
      </c>
      <c r="F26">
        <f t="shared" si="0"/>
        <v>0.42553191489361702</v>
      </c>
      <c r="G26">
        <f t="shared" si="1"/>
        <v>6.7567567567567571E-3</v>
      </c>
      <c r="H26" t="str">
        <f t="shared" si="2"/>
        <v>Minijob</v>
      </c>
    </row>
    <row r="27" spans="1:8" x14ac:dyDescent="0.25">
      <c r="A27">
        <v>26</v>
      </c>
      <c r="B27">
        <v>1700</v>
      </c>
      <c r="C27" t="s">
        <v>4</v>
      </c>
      <c r="F27">
        <f t="shared" si="0"/>
        <v>0.1702127659574468</v>
      </c>
      <c r="G27">
        <f t="shared" si="1"/>
        <v>0.10135135135135136</v>
      </c>
      <c r="H27" t="str">
        <f t="shared" si="2"/>
        <v>Minijob</v>
      </c>
    </row>
    <row r="28" spans="1:8" x14ac:dyDescent="0.25">
      <c r="A28">
        <v>27</v>
      </c>
      <c r="B28">
        <v>1300</v>
      </c>
      <c r="C28" t="s">
        <v>4</v>
      </c>
      <c r="F28">
        <f t="shared" si="0"/>
        <v>0.19148936170212766</v>
      </c>
      <c r="G28">
        <f t="shared" si="1"/>
        <v>7.4324324324324328E-2</v>
      </c>
      <c r="H28" t="str">
        <f t="shared" si="2"/>
        <v>Minijob</v>
      </c>
    </row>
    <row r="29" spans="1:8" x14ac:dyDescent="0.25">
      <c r="A29">
        <v>37</v>
      </c>
      <c r="B29">
        <v>2700</v>
      </c>
      <c r="C29" t="s">
        <v>4</v>
      </c>
      <c r="F29">
        <f t="shared" si="0"/>
        <v>0.40425531914893614</v>
      </c>
      <c r="G29">
        <f t="shared" si="1"/>
        <v>0.16891891891891891</v>
      </c>
      <c r="H29" t="str">
        <f t="shared" si="2"/>
        <v>Minijob</v>
      </c>
    </row>
    <row r="30" spans="1:8" x14ac:dyDescent="0.25">
      <c r="A30">
        <v>24</v>
      </c>
      <c r="B30">
        <v>1400</v>
      </c>
      <c r="C30" t="s">
        <v>4</v>
      </c>
      <c r="F30">
        <f t="shared" si="0"/>
        <v>0.1276595744680851</v>
      </c>
      <c r="G30">
        <f t="shared" si="1"/>
        <v>8.1081081081081086E-2</v>
      </c>
      <c r="H30" t="str">
        <f t="shared" si="2"/>
        <v>Minijob</v>
      </c>
    </row>
    <row r="31" spans="1:8" x14ac:dyDescent="0.25">
      <c r="A31">
        <v>31</v>
      </c>
      <c r="B31">
        <v>200</v>
      </c>
      <c r="C31" t="s">
        <v>4</v>
      </c>
      <c r="F31">
        <f t="shared" si="0"/>
        <v>0.27659574468085107</v>
      </c>
      <c r="G31">
        <f t="shared" si="1"/>
        <v>0</v>
      </c>
      <c r="H31" t="str">
        <f t="shared" si="2"/>
        <v>Minijob</v>
      </c>
    </row>
    <row r="32" spans="1:8" x14ac:dyDescent="0.25">
      <c r="A32">
        <v>34</v>
      </c>
      <c r="B32">
        <v>540</v>
      </c>
      <c r="C32" t="s">
        <v>4</v>
      </c>
      <c r="F32">
        <f t="shared" si="0"/>
        <v>0.34042553191489361</v>
      </c>
      <c r="G32">
        <f t="shared" si="1"/>
        <v>2.2972972972972974E-2</v>
      </c>
      <c r="H32" t="str">
        <f t="shared" si="2"/>
        <v>Minijob</v>
      </c>
    </row>
    <row r="33" spans="1:8" x14ac:dyDescent="0.25">
      <c r="A33">
        <v>20</v>
      </c>
      <c r="B33">
        <v>1200</v>
      </c>
      <c r="C33" t="s">
        <v>4</v>
      </c>
      <c r="F33">
        <f t="shared" si="0"/>
        <v>4.2553191489361701E-2</v>
      </c>
      <c r="G33">
        <f t="shared" si="1"/>
        <v>6.7567567567567571E-2</v>
      </c>
      <c r="H33" t="str">
        <f t="shared" si="2"/>
        <v>Minijob</v>
      </c>
    </row>
    <row r="34" spans="1:8" x14ac:dyDescent="0.25">
      <c r="A34">
        <v>25</v>
      </c>
      <c r="B34">
        <v>1300</v>
      </c>
      <c r="C34" t="s">
        <v>4</v>
      </c>
      <c r="F34">
        <f t="shared" si="0"/>
        <v>0.14893617021276595</v>
      </c>
      <c r="G34">
        <f t="shared" si="1"/>
        <v>7.4324324324324328E-2</v>
      </c>
      <c r="H34" t="str">
        <f t="shared" si="2"/>
        <v>Minijob</v>
      </c>
    </row>
    <row r="35" spans="1:8" x14ac:dyDescent="0.25">
      <c r="A35">
        <v>18</v>
      </c>
      <c r="B35">
        <v>500</v>
      </c>
      <c r="C35" t="s">
        <v>4</v>
      </c>
      <c r="F35">
        <f t="shared" si="0"/>
        <v>0</v>
      </c>
      <c r="G35">
        <f t="shared" si="1"/>
        <v>2.0270270270270271E-2</v>
      </c>
      <c r="H35" t="str">
        <f t="shared" si="2"/>
        <v>Minijob</v>
      </c>
    </row>
    <row r="36" spans="1:8" x14ac:dyDescent="0.25">
      <c r="A36">
        <v>47</v>
      </c>
      <c r="B36">
        <v>4000</v>
      </c>
      <c r="C36" t="s">
        <v>5</v>
      </c>
      <c r="F36">
        <f t="shared" si="0"/>
        <v>0.61702127659574468</v>
      </c>
      <c r="G36">
        <f t="shared" si="1"/>
        <v>0.25675675675675674</v>
      </c>
      <c r="H36" t="str">
        <f t="shared" si="2"/>
        <v>selbststÃ¤ndig</v>
      </c>
    </row>
    <row r="37" spans="1:8" x14ac:dyDescent="0.25">
      <c r="A37">
        <v>43</v>
      </c>
      <c r="B37">
        <v>3800</v>
      </c>
      <c r="C37" t="s">
        <v>5</v>
      </c>
      <c r="F37">
        <f t="shared" si="0"/>
        <v>0.53191489361702127</v>
      </c>
      <c r="G37">
        <f t="shared" si="1"/>
        <v>0.24324324324324326</v>
      </c>
      <c r="H37" t="str">
        <f t="shared" si="2"/>
        <v>selbststÃ¤ndig</v>
      </c>
    </row>
    <row r="38" spans="1:8" x14ac:dyDescent="0.25">
      <c r="A38">
        <v>45</v>
      </c>
      <c r="B38">
        <v>3800</v>
      </c>
      <c r="C38" t="s">
        <v>5</v>
      </c>
      <c r="F38">
        <f t="shared" si="0"/>
        <v>0.57446808510638303</v>
      </c>
      <c r="G38">
        <f t="shared" si="1"/>
        <v>0.24324324324324326</v>
      </c>
      <c r="H38" t="str">
        <f t="shared" si="2"/>
        <v>selbststÃ¤ndig</v>
      </c>
    </row>
    <row r="39" spans="1:8" x14ac:dyDescent="0.25">
      <c r="A39">
        <v>29</v>
      </c>
      <c r="B39">
        <v>900</v>
      </c>
      <c r="C39" t="s">
        <v>5</v>
      </c>
      <c r="F39">
        <f t="shared" si="0"/>
        <v>0.23404255319148937</v>
      </c>
      <c r="G39">
        <f t="shared" si="1"/>
        <v>4.72972972972973E-2</v>
      </c>
      <c r="H39" t="str">
        <f t="shared" si="2"/>
        <v>selbststÃ¤ndig</v>
      </c>
    </row>
    <row r="40" spans="1:8" x14ac:dyDescent="0.25">
      <c r="A40">
        <v>50</v>
      </c>
      <c r="B40">
        <v>8000</v>
      </c>
      <c r="C40" t="s">
        <v>5</v>
      </c>
      <c r="F40">
        <f t="shared" si="0"/>
        <v>0.68085106382978722</v>
      </c>
      <c r="G40">
        <f t="shared" si="1"/>
        <v>0.52702702702702697</v>
      </c>
      <c r="H40" t="str">
        <f t="shared" si="2"/>
        <v>selbststÃ¤ndig</v>
      </c>
    </row>
    <row r="41" spans="1:8" x14ac:dyDescent="0.25">
      <c r="A41">
        <v>60</v>
      </c>
      <c r="B41">
        <v>10000</v>
      </c>
      <c r="C41" t="s">
        <v>5</v>
      </c>
      <c r="F41">
        <f t="shared" si="0"/>
        <v>0.8936170212765957</v>
      </c>
      <c r="G41">
        <f t="shared" si="1"/>
        <v>0.66216216216216217</v>
      </c>
      <c r="H41" t="str">
        <f t="shared" si="2"/>
        <v>selbststÃ¤ndig</v>
      </c>
    </row>
    <row r="42" spans="1:8" x14ac:dyDescent="0.25">
      <c r="A42">
        <v>55</v>
      </c>
      <c r="B42">
        <v>6000</v>
      </c>
      <c r="C42" t="s">
        <v>5</v>
      </c>
      <c r="F42">
        <f t="shared" si="0"/>
        <v>0.78723404255319152</v>
      </c>
      <c r="G42">
        <f t="shared" si="1"/>
        <v>0.39189189189189189</v>
      </c>
      <c r="H42" t="str">
        <f t="shared" si="2"/>
        <v>selbststÃ¤ndig</v>
      </c>
    </row>
    <row r="43" spans="1:8" x14ac:dyDescent="0.25">
      <c r="A43">
        <v>48</v>
      </c>
      <c r="B43">
        <v>5000</v>
      </c>
      <c r="C43" t="s">
        <v>5</v>
      </c>
      <c r="F43">
        <f t="shared" si="0"/>
        <v>0.63829787234042556</v>
      </c>
      <c r="G43">
        <f t="shared" si="1"/>
        <v>0.32432432432432434</v>
      </c>
      <c r="H43" t="str">
        <f t="shared" si="2"/>
        <v>selbststÃ¤ndig</v>
      </c>
    </row>
    <row r="44" spans="1:8" x14ac:dyDescent="0.25">
      <c r="A44">
        <v>65</v>
      </c>
      <c r="B44">
        <v>15000</v>
      </c>
      <c r="C44" t="s">
        <v>5</v>
      </c>
      <c r="F44">
        <f t="shared" si="0"/>
        <v>1</v>
      </c>
      <c r="G44">
        <f t="shared" si="1"/>
        <v>1</v>
      </c>
      <c r="H44" t="str">
        <f t="shared" si="2"/>
        <v>selbststÃ¤ndig</v>
      </c>
    </row>
  </sheetData>
  <sortState xmlns:xlrd2="http://schemas.microsoft.com/office/spreadsheetml/2017/richdata2" ref="A2:C44">
    <sortCondition ref="C2:C44"/>
  </sortState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55FE0A-B18B-4CDF-A227-825BBE93E1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</dc:creator>
  <cp:lastModifiedBy>Hille Rainer</cp:lastModifiedBy>
  <dcterms:created xsi:type="dcterms:W3CDTF">2026-03-18T18:50:27Z</dcterms:created>
  <dcterms:modified xsi:type="dcterms:W3CDTF">2026-03-18T18:50:27Z</dcterms:modified>
</cp:coreProperties>
</file>